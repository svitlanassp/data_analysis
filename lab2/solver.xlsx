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veta\Desktop\"/>
    </mc:Choice>
  </mc:AlternateContent>
  <xr:revisionPtr revIDLastSave="0" documentId="13_ncr:1_{209D6DDB-9D9C-4B04-8ECA-208FADCC2FF9}" xr6:coauthVersionLast="47" xr6:coauthVersionMax="47" xr10:uidLastSave="{00000000-0000-0000-0000-000000000000}"/>
  <bookViews>
    <workbookView xWindow="-98" yWindow="-98" windowWidth="19396" windowHeight="11475" firstSheet="1" activeTab="2" xr2:uid="{00000000-000D-0000-FFFF-FFFF00000000}"/>
  </bookViews>
  <sheets>
    <sheet name="Звіт про стійкість 1" sheetId="2" r:id="rId1"/>
    <sheet name="Звіт про стійкість" sheetId="4" r:id="rId2"/>
    <sheet name="Розв'язання задачі" sheetId="1" r:id="rId3"/>
    <sheet name="Налаштування Solver " sheetId="5" r:id="rId4"/>
  </sheets>
  <definedNames>
    <definedName name="solver_adj" localSheetId="2" hidden="1">'Розв''язання задачі'!$B$2:$E$2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'Розв''язання задачі'!$F$5:$F$9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'Розв''язання задачі'!$C$11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hs1" localSheetId="2" hidden="1">'Розв''язання задачі'!$G$5:$G$9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C11" i="1"/>
</calcChain>
</file>

<file path=xl/sharedStrings.xml><?xml version="1.0" encoding="utf-8"?>
<sst xmlns="http://schemas.openxmlformats.org/spreadsheetml/2006/main" count="109" uniqueCount="53">
  <si>
    <t>Буклет</t>
  </si>
  <si>
    <t>Каталог</t>
  </si>
  <si>
    <t>Календар</t>
  </si>
  <si>
    <t>Плакат</t>
  </si>
  <si>
    <t>Крейдований папір, кг</t>
  </si>
  <si>
    <t>Офсетний папір, кг</t>
  </si>
  <si>
    <t>Фарба, кг</t>
  </si>
  <si>
    <t>Друкарська машина, год</t>
  </si>
  <si>
    <t>Різка й фальцювання, год</t>
  </si>
  <si>
    <t>Змінні рішення</t>
  </si>
  <si>
    <t>Витрати ресурсів</t>
  </si>
  <si>
    <t>Запас ресурсів</t>
  </si>
  <si>
    <t>Використано</t>
  </si>
  <si>
    <t>Microsoft Excel 16.0 Звіт про стійкість</t>
  </si>
  <si>
    <t>Аркуш: [аналізданихлаб2.xlsx]Аркуш1</t>
  </si>
  <si>
    <t>Звіт створено: 24.09.2026 21:22:35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</si>
  <si>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</si>
  <si>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</si>
  <si>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</si>
  <si>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</si>
  <si>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</si>
  <si>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</si>
  <si>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</si>
  <si>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</si>
  <si>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</si>
  <si>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</si>
  <si>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</si>
  <si>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</si>
  <si>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</si>
  <si>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</si>
  <si>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</si>
  <si>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</si>
  <si>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$B$2</t>
  </si>
  <si>
    <t>Змінні рішення Буклет</t>
  </si>
  <si>
    <t>$C$2</t>
  </si>
  <si>
    <t>Змінні рішення Каталог</t>
  </si>
  <si>
    <t>$D$2</t>
  </si>
  <si>
    <t>Змінні рішення Календар</t>
  </si>
  <si>
    <t>$E$2</t>
  </si>
  <si>
    <t>Змінні рішення Плакат</t>
  </si>
  <si>
    <t>$F$5</t>
  </si>
  <si>
    <t>Крейдований папір, кг Використано</t>
  </si>
  <si>
    <t>$F$6</t>
  </si>
  <si>
    <t>Офсетний папір, кг Використано</t>
  </si>
  <si>
    <t>$F$7</t>
  </si>
  <si>
    <t>Фарба, кг Використано</t>
  </si>
  <si>
    <t>$F$8</t>
  </si>
  <si>
    <t>Друкарська машина, год Використано</t>
  </si>
  <si>
    <t>$F$9</t>
  </si>
  <si>
    <t>Різка й фальцювання, год Використано</t>
  </si>
  <si>
    <t>Звіт створено: 24.09.2026 21:24:20</t>
  </si>
  <si>
    <t>Прибуток з одиниці грн/тис.прим.</t>
  </si>
  <si>
    <t>Загальний прибуток грн/тиждень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</si>
</sst>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203201</xdr:colOff>
      <xdr:row>26</xdr:row>
      <xdr:rowOff>30893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4F9D8E-8DC9-4681-B2BE-E565F5E72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737100" cy="4818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55E4-7C0E-4FE9-83D0-B38B270CD9E1}">
  <dimension ref="A1:H21"/>
  <sheetViews>
    <sheetView showGridLines="0" workbookViewId="0"/>
  </sheetViews>
  <sheetFormatPr defaultRowHeight="14.25" x14ac:dyDescent="0.45"/>
  <cols>
    <col min="1" max="1" width="2.1328125" customWidth="1"/>
    <col min="2" max="2" width="8" bestFit="1" customWidth="1"/>
    <col min="3" max="3" width="33.3984375" bestFit="1" customWidth="1"/>
    <col min="4" max="4" width="11.73046875" bestFit="1" customWidth="1"/>
    <col min="5" max="5" width="12.33203125" bestFit="1" customWidth="1"/>
    <col min="6" max="6" width="14.59765625" bestFit="1" customWidth="1"/>
    <col min="7" max="8" width="11.73046875" bestFit="1" customWidth="1"/>
  </cols>
  <sheetData>
    <row r="1" spans="1:8" x14ac:dyDescent="0.45">
      <c r="A1" s="1" t="s">
        <v>13</v>
      </c>
    </row>
    <row r="2" spans="1:8" x14ac:dyDescent="0.45">
      <c r="A2" s="1" t="s">
        <v>14</v>
      </c>
    </row>
    <row r="3" spans="1:8" x14ac:dyDescent="0.45">
      <c r="A3" s="1" t="s">
        <v>15</v>
      </c>
    </row>
    <row r="6" spans="1:8" ht="14.65" thickBot="1" x14ac:dyDescent="0.5">
      <c r="A6" t="s">
        <v>16</v>
      </c>
    </row>
    <row r="7" spans="1:8" x14ac:dyDescent="0.45">
      <c r="B7" s="4"/>
      <c r="C7" s="4"/>
      <c r="D7" s="4" t="s">
        <v>19</v>
      </c>
      <c r="E7" s="4" t="s">
        <v>21</v>
      </c>
      <c r="F7" s="4" t="s">
        <v>23</v>
      </c>
      <c r="G7" s="4" t="s">
        <v>25</v>
      </c>
      <c r="H7" s="4" t="s">
        <v>25</v>
      </c>
    </row>
    <row r="8" spans="1:8" ht="14.65" thickBot="1" x14ac:dyDescent="0.5">
      <c r="B8" s="5" t="s">
        <v>17</v>
      </c>
      <c r="C8" s="5" t="s">
        <v>18</v>
      </c>
      <c r="D8" s="5" t="s">
        <v>20</v>
      </c>
      <c r="E8" s="5" t="s">
        <v>22</v>
      </c>
      <c r="F8" s="5" t="s">
        <v>24</v>
      </c>
      <c r="G8" s="5" t="s">
        <v>26</v>
      </c>
      <c r="H8" s="5" t="s">
        <v>27</v>
      </c>
    </row>
    <row r="9" spans="1:8" x14ac:dyDescent="0.45">
      <c r="B9" s="2" t="s">
        <v>32</v>
      </c>
      <c r="C9" s="2" t="s">
        <v>33</v>
      </c>
      <c r="D9" s="2">
        <v>72.117647058823522</v>
      </c>
      <c r="E9" s="2">
        <v>0</v>
      </c>
      <c r="F9" s="2">
        <v>33</v>
      </c>
      <c r="G9" s="2">
        <v>63.666666666666679</v>
      </c>
      <c r="H9" s="2">
        <v>8.1111111111111125</v>
      </c>
    </row>
    <row r="10" spans="1:8" x14ac:dyDescent="0.45">
      <c r="B10" s="2" t="s">
        <v>34</v>
      </c>
      <c r="C10" s="2" t="s">
        <v>35</v>
      </c>
      <c r="D10" s="2">
        <v>0</v>
      </c>
      <c r="E10" s="2">
        <v>-8.5882352941176485</v>
      </c>
      <c r="F10" s="2">
        <v>40</v>
      </c>
      <c r="G10" s="2">
        <v>8.5882352941176485</v>
      </c>
      <c r="H10" s="2">
        <v>1E+30</v>
      </c>
    </row>
    <row r="11" spans="1:8" x14ac:dyDescent="0.45">
      <c r="B11" s="2" t="s">
        <v>36</v>
      </c>
      <c r="C11" s="2" t="s">
        <v>37</v>
      </c>
      <c r="D11" s="2">
        <v>79.470588235294116</v>
      </c>
      <c r="E11" s="2">
        <v>0</v>
      </c>
      <c r="F11" s="2">
        <v>58</v>
      </c>
      <c r="G11" s="2">
        <v>74</v>
      </c>
      <c r="H11" s="2">
        <v>36.500000000000007</v>
      </c>
    </row>
    <row r="12" spans="1:8" ht="14.65" thickBot="1" x14ac:dyDescent="0.5">
      <c r="B12" s="3" t="s">
        <v>38</v>
      </c>
      <c r="C12" s="3" t="s">
        <v>39</v>
      </c>
      <c r="D12" s="3">
        <v>0</v>
      </c>
      <c r="E12" s="3">
        <v>-18.52941176470588</v>
      </c>
      <c r="F12" s="3">
        <v>17</v>
      </c>
      <c r="G12" s="3">
        <v>18.52941176470588</v>
      </c>
      <c r="H12" s="3">
        <v>1E+30</v>
      </c>
    </row>
    <row r="14" spans="1:8" ht="14.65" thickBot="1" x14ac:dyDescent="0.5">
      <c r="A14" t="s">
        <v>28</v>
      </c>
    </row>
    <row r="15" spans="1:8" x14ac:dyDescent="0.45">
      <c r="B15" s="4"/>
      <c r="C15" s="4"/>
      <c r="D15" s="4" t="s">
        <v>19</v>
      </c>
      <c r="E15" s="4" t="s">
        <v>29</v>
      </c>
      <c r="F15" s="4" t="s">
        <v>28</v>
      </c>
      <c r="G15" s="4" t="s">
        <v>25</v>
      </c>
      <c r="H15" s="4" t="s">
        <v>25</v>
      </c>
    </row>
    <row r="16" spans="1:8" ht="14.65" thickBot="1" x14ac:dyDescent="0.5">
      <c r="B16" s="5" t="s">
        <v>17</v>
      </c>
      <c r="C16" s="5" t="s">
        <v>18</v>
      </c>
      <c r="D16" s="5" t="s">
        <v>20</v>
      </c>
      <c r="E16" s="5" t="s">
        <v>30</v>
      </c>
      <c r="F16" s="5" t="s">
        <v>31</v>
      </c>
      <c r="G16" s="5" t="s">
        <v>26</v>
      </c>
      <c r="H16" s="5" t="s">
        <v>27</v>
      </c>
    </row>
    <row r="17" spans="2:8" x14ac:dyDescent="0.45">
      <c r="B17" s="2" t="s">
        <v>40</v>
      </c>
      <c r="C17" s="2" t="s">
        <v>41</v>
      </c>
      <c r="D17" s="2">
        <v>390</v>
      </c>
      <c r="E17" s="2">
        <v>0</v>
      </c>
      <c r="F17" s="2">
        <v>412</v>
      </c>
      <c r="G17" s="2">
        <v>1E+30</v>
      </c>
      <c r="H17" s="2">
        <v>22</v>
      </c>
    </row>
    <row r="18" spans="2:8" x14ac:dyDescent="0.45">
      <c r="B18" s="2" t="s">
        <v>42</v>
      </c>
      <c r="C18" s="2" t="s">
        <v>43</v>
      </c>
      <c r="D18" s="2">
        <v>367.94117647058818</v>
      </c>
      <c r="E18" s="2">
        <v>0</v>
      </c>
      <c r="F18" s="2">
        <v>1005</v>
      </c>
      <c r="G18" s="2">
        <v>1E+30</v>
      </c>
      <c r="H18" s="2">
        <v>637.05882352941171</v>
      </c>
    </row>
    <row r="19" spans="2:8" x14ac:dyDescent="0.45">
      <c r="B19" s="2" t="s">
        <v>44</v>
      </c>
      <c r="C19" s="2" t="s">
        <v>45</v>
      </c>
      <c r="D19" s="2">
        <v>765.29411764705878</v>
      </c>
      <c r="E19" s="2">
        <v>0</v>
      </c>
      <c r="F19" s="2">
        <v>996</v>
      </c>
      <c r="G19" s="2">
        <v>1E+30</v>
      </c>
      <c r="H19" s="2">
        <v>230.70588235294119</v>
      </c>
    </row>
    <row r="20" spans="2:8" x14ac:dyDescent="0.45">
      <c r="B20" s="2" t="s">
        <v>46</v>
      </c>
      <c r="C20" s="2" t="s">
        <v>47</v>
      </c>
      <c r="D20" s="2">
        <v>599</v>
      </c>
      <c r="E20" s="2">
        <v>4.3529411764705879</v>
      </c>
      <c r="F20" s="2">
        <v>599</v>
      </c>
      <c r="G20" s="2">
        <v>392.2</v>
      </c>
      <c r="H20" s="2">
        <v>306.5</v>
      </c>
    </row>
    <row r="21" spans="2:8" ht="14.65" thickBot="1" x14ac:dyDescent="0.5">
      <c r="B21" s="3" t="s">
        <v>48</v>
      </c>
      <c r="C21" s="3" t="s">
        <v>49</v>
      </c>
      <c r="D21" s="3">
        <v>390</v>
      </c>
      <c r="E21" s="3">
        <v>11.23529411764706</v>
      </c>
      <c r="F21" s="3">
        <v>390</v>
      </c>
      <c r="G21" s="3">
        <v>22</v>
      </c>
      <c r="H21" s="3">
        <v>270.2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86F5-50F6-4EBB-8825-0B32778CD058}">
  <dimension ref="A1:H21"/>
  <sheetViews>
    <sheetView showGridLines="0" zoomScale="61" workbookViewId="0">
      <selection activeCell="E4" sqref="E4"/>
    </sheetView>
  </sheetViews>
  <sheetFormatPr defaultRowHeight="14.25" x14ac:dyDescent="0.45"/>
  <cols>
    <col min="1" max="1" width="2.1328125" customWidth="1"/>
    <col min="2" max="2" width="8" bestFit="1" customWidth="1"/>
    <col min="3" max="3" width="33.3984375" bestFit="1" customWidth="1"/>
    <col min="4" max="4" width="11.73046875" bestFit="1" customWidth="1"/>
    <col min="5" max="5" width="12.33203125" bestFit="1" customWidth="1"/>
    <col min="6" max="6" width="14.59765625" bestFit="1" customWidth="1"/>
    <col min="7" max="8" width="11.73046875" bestFit="1" customWidth="1"/>
  </cols>
  <sheetData>
    <row r="1" spans="1:8" x14ac:dyDescent="0.45">
      <c r="A1" s="1" t="s">
        <v>13</v>
      </c>
    </row>
    <row r="2" spans="1:8" x14ac:dyDescent="0.45">
      <c r="A2" s="1" t="s">
        <v>14</v>
      </c>
    </row>
    <row r="3" spans="1:8" x14ac:dyDescent="0.45">
      <c r="A3" s="1" t="s">
        <v>50</v>
      </c>
    </row>
    <row r="6" spans="1:8" ht="14.65" thickBot="1" x14ac:dyDescent="0.5">
      <c r="A6" t="s">
        <v>16</v>
      </c>
    </row>
    <row r="7" spans="1:8" x14ac:dyDescent="0.45">
      <c r="B7" s="4"/>
      <c r="C7" s="4"/>
      <c r="D7" s="4" t="s">
        <v>19</v>
      </c>
      <c r="E7" s="4" t="s">
        <v>21</v>
      </c>
      <c r="F7" s="4" t="s">
        <v>23</v>
      </c>
      <c r="G7" s="4" t="s">
        <v>25</v>
      </c>
      <c r="H7" s="4" t="s">
        <v>25</v>
      </c>
    </row>
    <row r="8" spans="1:8" ht="14.65" thickBot="1" x14ac:dyDescent="0.5">
      <c r="B8" s="5" t="s">
        <v>17</v>
      </c>
      <c r="C8" s="5" t="s">
        <v>18</v>
      </c>
      <c r="D8" s="5" t="s">
        <v>20</v>
      </c>
      <c r="E8" s="5" t="s">
        <v>22</v>
      </c>
      <c r="F8" s="5" t="s">
        <v>24</v>
      </c>
      <c r="G8" s="5" t="s">
        <v>26</v>
      </c>
      <c r="H8" s="5" t="s">
        <v>27</v>
      </c>
    </row>
    <row r="9" spans="1:8" x14ac:dyDescent="0.45">
      <c r="B9" s="2" t="s">
        <v>32</v>
      </c>
      <c r="C9" s="2" t="s">
        <v>33</v>
      </c>
      <c r="D9" s="2">
        <v>72.117647058823522</v>
      </c>
      <c r="E9" s="2">
        <v>0</v>
      </c>
      <c r="F9" s="2">
        <v>33</v>
      </c>
      <c r="G9" s="2">
        <v>63.666666666666679</v>
      </c>
      <c r="H9" s="2">
        <v>8.1111111111111125</v>
      </c>
    </row>
    <row r="10" spans="1:8" x14ac:dyDescent="0.45">
      <c r="B10" s="2" t="s">
        <v>34</v>
      </c>
      <c r="C10" s="2" t="s">
        <v>35</v>
      </c>
      <c r="D10" s="2">
        <v>0</v>
      </c>
      <c r="E10" s="2">
        <v>-8.5882352941176485</v>
      </c>
      <c r="F10" s="2">
        <v>40</v>
      </c>
      <c r="G10" s="2">
        <v>8.5882352941176485</v>
      </c>
      <c r="H10" s="2">
        <v>1E+30</v>
      </c>
    </row>
    <row r="11" spans="1:8" x14ac:dyDescent="0.45">
      <c r="B11" s="2" t="s">
        <v>36</v>
      </c>
      <c r="C11" s="2" t="s">
        <v>37</v>
      </c>
      <c r="D11" s="2">
        <v>79.470588235294116</v>
      </c>
      <c r="E11" s="2">
        <v>0</v>
      </c>
      <c r="F11" s="2">
        <v>58</v>
      </c>
      <c r="G11" s="2">
        <v>74</v>
      </c>
      <c r="H11" s="2">
        <v>36.500000000000007</v>
      </c>
    </row>
    <row r="12" spans="1:8" ht="14.65" thickBot="1" x14ac:dyDescent="0.5">
      <c r="B12" s="3" t="s">
        <v>38</v>
      </c>
      <c r="C12" s="3" t="s">
        <v>39</v>
      </c>
      <c r="D12" s="3">
        <v>0</v>
      </c>
      <c r="E12" s="3">
        <v>-18.52941176470588</v>
      </c>
      <c r="F12" s="3">
        <v>17</v>
      </c>
      <c r="G12" s="3">
        <v>18.52941176470588</v>
      </c>
      <c r="H12" s="3">
        <v>1E+30</v>
      </c>
    </row>
    <row r="14" spans="1:8" ht="14.65" thickBot="1" x14ac:dyDescent="0.5">
      <c r="A14" t="s">
        <v>28</v>
      </c>
    </row>
    <row r="15" spans="1:8" x14ac:dyDescent="0.45">
      <c r="B15" s="4"/>
      <c r="C15" s="4"/>
      <c r="D15" s="4" t="s">
        <v>19</v>
      </c>
      <c r="E15" s="4" t="s">
        <v>29</v>
      </c>
      <c r="F15" s="4" t="s">
        <v>28</v>
      </c>
      <c r="G15" s="4" t="s">
        <v>25</v>
      </c>
      <c r="H15" s="4" t="s">
        <v>25</v>
      </c>
    </row>
    <row r="16" spans="1:8" ht="14.65" thickBot="1" x14ac:dyDescent="0.5">
      <c r="B16" s="5" t="s">
        <v>17</v>
      </c>
      <c r="C16" s="5" t="s">
        <v>18</v>
      </c>
      <c r="D16" s="5" t="s">
        <v>20</v>
      </c>
      <c r="E16" s="5" t="s">
        <v>30</v>
      </c>
      <c r="F16" s="5" t="s">
        <v>31</v>
      </c>
      <c r="G16" s="5" t="s">
        <v>26</v>
      </c>
      <c r="H16" s="5" t="s">
        <v>27</v>
      </c>
    </row>
    <row r="17" spans="2:8" x14ac:dyDescent="0.45">
      <c r="B17" s="2" t="s">
        <v>40</v>
      </c>
      <c r="C17" s="2" t="s">
        <v>41</v>
      </c>
      <c r="D17" s="2">
        <v>390</v>
      </c>
      <c r="E17" s="2">
        <v>0</v>
      </c>
      <c r="F17" s="2">
        <v>412</v>
      </c>
      <c r="G17" s="2">
        <v>1E+30</v>
      </c>
      <c r="H17" s="2">
        <v>22</v>
      </c>
    </row>
    <row r="18" spans="2:8" x14ac:dyDescent="0.45">
      <c r="B18" s="2" t="s">
        <v>42</v>
      </c>
      <c r="C18" s="2" t="s">
        <v>43</v>
      </c>
      <c r="D18" s="2">
        <v>367.94117647058818</v>
      </c>
      <c r="E18" s="2">
        <v>0</v>
      </c>
      <c r="F18" s="2">
        <v>1005</v>
      </c>
      <c r="G18" s="2">
        <v>1E+30</v>
      </c>
      <c r="H18" s="2">
        <v>637.05882352941171</v>
      </c>
    </row>
    <row r="19" spans="2:8" x14ac:dyDescent="0.45">
      <c r="B19" s="2" t="s">
        <v>44</v>
      </c>
      <c r="C19" s="2" t="s">
        <v>45</v>
      </c>
      <c r="D19" s="2">
        <v>765.29411764705878</v>
      </c>
      <c r="E19" s="2">
        <v>0</v>
      </c>
      <c r="F19" s="2">
        <v>996</v>
      </c>
      <c r="G19" s="2">
        <v>1E+30</v>
      </c>
      <c r="H19" s="2">
        <v>230.70588235294119</v>
      </c>
    </row>
    <row r="20" spans="2:8" x14ac:dyDescent="0.45">
      <c r="B20" s="2" t="s">
        <v>46</v>
      </c>
      <c r="C20" s="2" t="s">
        <v>47</v>
      </c>
      <c r="D20" s="2">
        <v>599</v>
      </c>
      <c r="E20" s="2">
        <v>4.3529411764705879</v>
      </c>
      <c r="F20" s="2">
        <v>599</v>
      </c>
      <c r="G20" s="2">
        <v>392.2</v>
      </c>
      <c r="H20" s="2">
        <v>306.5</v>
      </c>
    </row>
    <row r="21" spans="2:8" ht="14.65" thickBot="1" x14ac:dyDescent="0.5">
      <c r="B21" s="3" t="s">
        <v>48</v>
      </c>
      <c r="C21" s="3" t="s">
        <v>49</v>
      </c>
      <c r="D21" s="3">
        <v>390</v>
      </c>
      <c r="E21" s="3">
        <v>11.23529411764706</v>
      </c>
      <c r="F21" s="3">
        <v>390</v>
      </c>
      <c r="G21" s="3">
        <v>22</v>
      </c>
      <c r="H21" s="3">
        <v>270.2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54" workbookViewId="0">
      <selection activeCell="F31" sqref="F31"/>
    </sheetView>
  </sheetViews>
  <sheetFormatPr defaultRowHeight="14.25" x14ac:dyDescent="0.45"/>
  <cols>
    <col min="1" max="1" width="34.19921875" customWidth="1"/>
    <col min="2" max="2" width="9.06640625" customWidth="1"/>
    <col min="6" max="6" width="12.86328125" customWidth="1"/>
    <col min="7" max="7" width="14" customWidth="1"/>
  </cols>
  <sheetData>
    <row r="1" spans="1:7" x14ac:dyDescent="0.45">
      <c r="B1" t="s">
        <v>0</v>
      </c>
      <c r="C1" t="s">
        <v>1</v>
      </c>
      <c r="D1" t="s">
        <v>2</v>
      </c>
      <c r="E1" t="s">
        <v>3</v>
      </c>
    </row>
    <row r="2" spans="1:7" x14ac:dyDescent="0.45">
      <c r="A2" t="s">
        <v>9</v>
      </c>
      <c r="B2">
        <v>72.117647058823522</v>
      </c>
      <c r="C2">
        <v>0</v>
      </c>
      <c r="D2">
        <v>79.470588235294116</v>
      </c>
      <c r="E2">
        <v>0</v>
      </c>
    </row>
    <row r="3" spans="1:7" x14ac:dyDescent="0.45">
      <c r="A3" t="s">
        <v>51</v>
      </c>
      <c r="B3">
        <v>33</v>
      </c>
      <c r="C3">
        <v>40</v>
      </c>
      <c r="D3">
        <v>58</v>
      </c>
      <c r="E3">
        <v>17</v>
      </c>
    </row>
    <row r="4" spans="1:7" x14ac:dyDescent="0.45">
      <c r="B4" s="6" t="s">
        <v>10</v>
      </c>
      <c r="C4" s="6"/>
      <c r="D4" s="6"/>
      <c r="E4" s="6"/>
      <c r="F4" t="s">
        <v>12</v>
      </c>
      <c r="G4" t="s">
        <v>11</v>
      </c>
    </row>
    <row r="5" spans="1:7" x14ac:dyDescent="0.45">
      <c r="A5" t="s">
        <v>4</v>
      </c>
      <c r="B5">
        <v>1</v>
      </c>
      <c r="C5">
        <v>6</v>
      </c>
      <c r="D5">
        <v>4</v>
      </c>
      <c r="E5">
        <v>2</v>
      </c>
      <c r="F5">
        <f>SUMPRODUCT($B$2:$E$2, B5:E5)</f>
        <v>390</v>
      </c>
      <c r="G5">
        <v>412</v>
      </c>
    </row>
    <row r="6" spans="1:7" x14ac:dyDescent="0.45">
      <c r="A6" t="s">
        <v>5</v>
      </c>
      <c r="B6">
        <v>4</v>
      </c>
      <c r="C6">
        <v>1</v>
      </c>
      <c r="D6">
        <v>1</v>
      </c>
      <c r="E6">
        <v>2</v>
      </c>
      <c r="F6">
        <f t="shared" ref="F6:F9" si="0">SUMPRODUCT($B$2:$E$2, B6:E6)</f>
        <v>367.94117647058818</v>
      </c>
      <c r="G6">
        <v>1005</v>
      </c>
    </row>
    <row r="7" spans="1:7" x14ac:dyDescent="0.45">
      <c r="A7" t="s">
        <v>6</v>
      </c>
      <c r="B7">
        <v>4</v>
      </c>
      <c r="C7">
        <v>4</v>
      </c>
      <c r="D7">
        <v>6</v>
      </c>
      <c r="E7">
        <v>6</v>
      </c>
      <c r="F7">
        <f t="shared" si="0"/>
        <v>765.29411764705878</v>
      </c>
      <c r="G7">
        <v>996</v>
      </c>
    </row>
    <row r="8" spans="1:7" x14ac:dyDescent="0.45">
      <c r="A8" t="s">
        <v>7</v>
      </c>
      <c r="B8">
        <v>5</v>
      </c>
      <c r="C8">
        <v>6</v>
      </c>
      <c r="D8">
        <v>3</v>
      </c>
      <c r="E8">
        <v>3</v>
      </c>
      <c r="F8">
        <f t="shared" si="0"/>
        <v>599</v>
      </c>
      <c r="G8">
        <v>599</v>
      </c>
    </row>
    <row r="9" spans="1:7" x14ac:dyDescent="0.45">
      <c r="A9" t="s">
        <v>8</v>
      </c>
      <c r="B9">
        <v>1</v>
      </c>
      <c r="C9">
        <v>2</v>
      </c>
      <c r="D9">
        <v>4</v>
      </c>
      <c r="E9">
        <v>2</v>
      </c>
      <c r="F9">
        <f t="shared" si="0"/>
        <v>390</v>
      </c>
      <c r="G9">
        <v>390</v>
      </c>
    </row>
    <row r="11" spans="1:7" x14ac:dyDescent="0.45">
      <c r="A11" s="7" t="s">
        <v>52</v>
      </c>
      <c r="B11" s="7"/>
      <c r="C11">
        <f>SUMPRODUCT(B2:E2, B3:E3)</f>
        <v>6989.1764705882342</v>
      </c>
    </row>
  </sheetData>
  <mergeCells count="2">
    <mergeCell ref="B4:E4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2C1D-CF8D-4AE2-BE19-9E4CA633B397}">
  <dimension ref="A1"/>
  <sheetViews>
    <sheetView zoomScale="75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Звіт про стійкість 1</vt:lpstr>
      <vt:lpstr>Звіт про стійкість</vt:lpstr>
      <vt:lpstr>Розв'язання задачі</vt:lpstr>
      <vt:lpstr>Налаштування Solver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Света Потапова</dc:creator>
  <cp:lastModifiedBy>Света Потапова</cp:lastModifiedBy>
  <dcterms:created xsi:type="dcterms:W3CDTF">2015-06-05T18:19:34Z</dcterms:created>
  <dcterms:modified xsi:type="dcterms:W3CDTF">2026-10-01T17:49:23Z</dcterms:modified>
</cp:coreProperties>
</file>